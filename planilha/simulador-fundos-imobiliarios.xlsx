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HHO\simulador-carteira-investimentos\planilha\"/>
    </mc:Choice>
  </mc:AlternateContent>
  <xr:revisionPtr revIDLastSave="0" documentId="13_ncr:1_{A0AE6B62-D29E-43D9-8E66-BFE6582D523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imulador" sheetId="1" r:id="rId1"/>
    <sheet name="Configurações" sheetId="2" r:id="rId2"/>
    <sheet name="Perfis" sheetId="3" r:id="rId3"/>
  </sheets>
  <definedNames>
    <definedName name="anos">Simulador!$D$7</definedName>
    <definedName name="aporte">Simulador!$D$6</definedName>
    <definedName name="dividendos">Simulador!$D$17</definedName>
    <definedName name="lista_perfis">Perfis!$H$5:$H$7</definedName>
    <definedName name="lista_tipos">Perfis!$F$5:$F$10</definedName>
    <definedName name="patrimonio">Simulador!$D$15</definedName>
    <definedName name="pct_aporte">Configurações!$C$8</definedName>
    <definedName name="perfil">Simulador!$D$9</definedName>
    <definedName name="salario">Configurações!$C$7</definedName>
    <definedName name="sugestao_aporte">Configurações!$C$9</definedName>
    <definedName name="tabela_perfis">Perfis!$A$5:$D$22</definedName>
    <definedName name="taxa_mensal">Simulador!$D$8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2" i="3" l="1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I7" i="3"/>
  <c r="J7" i="3" s="1"/>
  <c r="A7" i="3"/>
  <c r="I6" i="3"/>
  <c r="J6" i="3" s="1"/>
  <c r="A6" i="3"/>
  <c r="I5" i="3"/>
  <c r="J5" i="3" s="1"/>
  <c r="A5" i="3"/>
  <c r="C9" i="2"/>
  <c r="G36" i="1"/>
  <c r="H36" i="1" s="1"/>
  <c r="E36" i="1"/>
  <c r="F36" i="1" s="1"/>
  <c r="D36" i="1"/>
  <c r="G35" i="1"/>
  <c r="H35" i="1" s="1"/>
  <c r="E35" i="1"/>
  <c r="F35" i="1" s="1"/>
  <c r="D35" i="1"/>
  <c r="G34" i="1"/>
  <c r="H34" i="1" s="1"/>
  <c r="E34" i="1"/>
  <c r="F34" i="1" s="1"/>
  <c r="D34" i="1"/>
  <c r="E33" i="1"/>
  <c r="F33" i="1" s="1"/>
  <c r="D33" i="1"/>
  <c r="E32" i="1"/>
  <c r="F32" i="1" s="1"/>
  <c r="D32" i="1"/>
  <c r="C26" i="1"/>
  <c r="D26" i="1" s="1"/>
  <c r="E26" i="1" s="1"/>
  <c r="C25" i="1"/>
  <c r="D25" i="1" s="1"/>
  <c r="E25" i="1" s="1"/>
  <c r="C24" i="1"/>
  <c r="D24" i="1" s="1"/>
  <c r="E24" i="1" s="1"/>
  <c r="C23" i="1"/>
  <c r="D23" i="1" s="1"/>
  <c r="E23" i="1" s="1"/>
  <c r="C22" i="1"/>
  <c r="D22" i="1" s="1"/>
  <c r="E22" i="1" s="1"/>
  <c r="C21" i="1"/>
  <c r="D21" i="1" s="1"/>
  <c r="E13" i="1"/>
  <c r="D13" i="1"/>
  <c r="G6" i="1"/>
  <c r="E6" i="1"/>
  <c r="G33" i="1" l="1"/>
  <c r="H33" i="1" s="1"/>
  <c r="G32" i="1"/>
  <c r="H32" i="1" s="1"/>
  <c r="E21" i="1"/>
  <c r="E27" i="1" s="1"/>
  <c r="D27" i="1"/>
  <c r="E15" i="1"/>
  <c r="E14" i="1"/>
  <c r="D15" i="1"/>
  <c r="D14" i="1"/>
  <c r="E16" i="1" l="1"/>
  <c r="E17" i="1"/>
  <c r="D16" i="1"/>
  <c r="D17" i="1"/>
</calcChain>
</file>

<file path=xl/sharedStrings.xml><?xml version="1.0" encoding="utf-8"?>
<sst xmlns="http://schemas.openxmlformats.org/spreadsheetml/2006/main" count="99" uniqueCount="58">
  <si>
    <t>Simulador de Fundos Imobiliários</t>
  </si>
  <si>
    <t>Preencha as células amarelas. As células cinza são calculadas e não devem ser editadas.</t>
  </si>
  <si>
    <t>Quanto investir por mês (R$)</t>
  </si>
  <si>
    <t>Por quantos anos</t>
  </si>
  <si>
    <t>de 1 a 30 anos</t>
  </si>
  <si>
    <t>Taxa de rendimento mensal</t>
  </si>
  <si>
    <t>ex.: 0,80% ao mês (hipótese de rendimento mensal de FIIs)</t>
  </si>
  <si>
    <t>Perfil do investidor</t>
  </si>
  <si>
    <t>Moderado</t>
  </si>
  <si>
    <t>escolha na lista</t>
  </si>
  <si>
    <t>Indicador</t>
  </si>
  <si>
    <t>Aporte informado</t>
  </si>
  <si>
    <t>30% do salário</t>
  </si>
  <si>
    <t>Aporte mensal</t>
  </si>
  <si>
    <t>Total investido</t>
  </si>
  <si>
    <t>Patrimônio acumulado</t>
  </si>
  <si>
    <t>Rendimento acumulado</t>
  </si>
  <si>
    <t>Dividendos por mês</t>
  </si>
  <si>
    <t>Tipo de fundo</t>
  </si>
  <si>
    <t>% do aporte</t>
  </si>
  <si>
    <t>Aporte mensal (R$)</t>
  </si>
  <si>
    <t>Total</t>
  </si>
  <si>
    <t>Prazo (anos)</t>
  </si>
  <si>
    <t>Patrimônio</t>
  </si>
  <si>
    <t>Patrimônio (30% do salário)</t>
  </si>
  <si>
    <t>Dividendos por mês (30%)</t>
  </si>
  <si>
    <t>Dividendos por mês = patrimônio × taxa de rendimento mensal (estimativa, com a taxa constante).</t>
  </si>
  <si>
    <t>Simulação com fins didáticos, com valores de exemplo. Não é recomendação de investimento.</t>
  </si>
  <si>
    <t>Configurações</t>
  </si>
  <si>
    <t>Valores de exemplo. Células amarelas são editáveis; cinza é calculado.</t>
  </si>
  <si>
    <t>Item</t>
  </si>
  <si>
    <t>Valor</t>
  </si>
  <si>
    <t>Observação</t>
  </si>
  <si>
    <t>Salário mensal (exemplo)</t>
  </si>
  <si>
    <t>Valor fictício, troque pelo seu caso</t>
  </si>
  <si>
    <t>Percentual do salário para aportar</t>
  </si>
  <si>
    <t>Regra de bolso de 30% do salário</t>
  </si>
  <si>
    <t>Sugestão de aporte mensal</t>
  </si>
  <si>
    <t>Calculado: salário × percentual</t>
  </si>
  <si>
    <t>Tabela de apoio: perfil, tipo de fundo e percentual</t>
  </si>
  <si>
    <t>Chave</t>
  </si>
  <si>
    <t>Perfil</t>
  </si>
  <si>
    <t>Percentual</t>
  </si>
  <si>
    <t>Tipos de fundo</t>
  </si>
  <si>
    <t>Soma dos %</t>
  </si>
  <si>
    <t>Conferência</t>
  </si>
  <si>
    <t>Conservador</t>
  </si>
  <si>
    <t>Papel (CRI)</t>
  </si>
  <si>
    <t>Logística</t>
  </si>
  <si>
    <t>Shoppings</t>
  </si>
  <si>
    <t>Arrojado</t>
  </si>
  <si>
    <t>Lajes corporativas</t>
  </si>
  <si>
    <t>Fundos de fundos (FoF)</t>
  </si>
  <si>
    <t>Híbridos e desenvolvimento</t>
  </si>
  <si>
    <t>Seus dados</t>
  </si>
  <si>
    <t>Resultado</t>
  </si>
  <si>
    <t>Divisão do aporte por tipo de fundo</t>
  </si>
  <si>
    <t>Cenários de 2 a 30 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</si>
</sst>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"/>
  </numFmts>
  <fonts count="6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0"/>
      <color rgb="FF6B6B6B"/>
      <name val="Arial"/>
      <charset val="1"/>
    </font>
    <font>
      <b/>
      <sz val="10"/>
      <color rgb="FF2B2B2B"/>
      <name val="Arial"/>
      <charset val="1"/>
    </font>
    <font>
      <sz val="10"/>
      <color rgb="FF2B2B2B"/>
      <name val="Arial"/>
      <charset val="1"/>
    </font>
    <font>
      <b/>
      <sz val="13"/>
      <color theme="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FBEFB5"/>
        <bgColor rgb="FFEFE6D8"/>
      </patternFill>
    </fill>
    <fill>
      <patternFill patternType="solid">
        <fgColor rgb="FFD9D9D9"/>
        <bgColor rgb="FFEFE6D8"/>
      </patternFill>
    </fill>
    <fill>
      <patternFill patternType="solid">
        <fgColor rgb="FF95B3D7"/>
        <bgColor rgb="FF9999FF"/>
      </patternFill>
    </fill>
    <fill>
      <patternFill patternType="solid">
        <fgColor rgb="FFEFE6D8"/>
        <bgColor rgb="FFFBEFB5"/>
      </patternFill>
    </fill>
  </fills>
  <borders count="3">
    <border>
      <left/>
      <right/>
      <top/>
      <bottom/>
      <diagonal/>
    </border>
    <border>
      <left style="thin">
        <color rgb="FFBDB2A1"/>
      </left>
      <right style="thin">
        <color rgb="FFBDB2A1"/>
      </right>
      <top style="thin">
        <color rgb="FFBDB2A1"/>
      </top>
      <bottom style="thin">
        <color rgb="FFBDB2A1"/>
      </bottom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5" fillId="0" borderId="2" applyNumberFormat="0" applyFill="0" applyAlignment="0" applyProtection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164" fontId="4" fillId="3" borderId="1" xfId="0" applyNumberFormat="1" applyFont="1" applyFill="1" applyBorder="1" applyAlignment="1">
      <alignment horizontal="right" vertical="center" indent="1"/>
    </xf>
    <xf numFmtId="0" fontId="2" fillId="0" borderId="0" xfId="0" applyFont="1" applyAlignment="1">
      <alignment horizontal="left" vertical="center" indent="1"/>
    </xf>
    <xf numFmtId="164" fontId="4" fillId="4" borderId="1" xfId="0" applyNumberFormat="1" applyFont="1" applyFill="1" applyBorder="1" applyAlignment="1">
      <alignment horizontal="right" vertical="center" indent="1"/>
    </xf>
    <xf numFmtId="1" fontId="4" fillId="3" borderId="1" xfId="0" applyNumberFormat="1" applyFont="1" applyFill="1" applyBorder="1" applyAlignment="1">
      <alignment horizontal="right" vertical="center" indent="1"/>
    </xf>
    <xf numFmtId="10" fontId="4" fillId="3" borderId="1" xfId="0" applyNumberFormat="1" applyFont="1" applyFill="1" applyBorder="1" applyAlignment="1">
      <alignment horizontal="right" vertical="center" indent="1"/>
    </xf>
    <xf numFmtId="0" fontId="4" fillId="3" borderId="1" xfId="0" applyFont="1" applyFill="1" applyBorder="1" applyAlignment="1">
      <alignment horizontal="right" vertical="center" inden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164" fontId="3" fillId="4" borderId="1" xfId="0" applyNumberFormat="1" applyFont="1" applyFill="1" applyBorder="1" applyAlignment="1">
      <alignment horizontal="right" vertical="center" indent="1"/>
    </xf>
    <xf numFmtId="0" fontId="4" fillId="4" borderId="1" xfId="0" applyFont="1" applyFill="1" applyBorder="1" applyAlignment="1">
      <alignment vertical="center"/>
    </xf>
    <xf numFmtId="9" fontId="4" fillId="4" borderId="1" xfId="0" applyNumberFormat="1" applyFont="1" applyFill="1" applyBorder="1" applyAlignment="1">
      <alignment horizontal="right" vertical="center" indent="1"/>
    </xf>
    <xf numFmtId="0" fontId="3" fillId="4" borderId="1" xfId="0" applyFont="1" applyFill="1" applyBorder="1" applyAlignment="1">
      <alignment vertical="center"/>
    </xf>
    <xf numFmtId="9" fontId="3" fillId="4" borderId="1" xfId="0" applyNumberFormat="1" applyFont="1" applyFill="1" applyBorder="1" applyAlignment="1">
      <alignment horizontal="right" vertical="center" indent="1"/>
    </xf>
    <xf numFmtId="1" fontId="4" fillId="6" borderId="1" xfId="0" applyNumberFormat="1" applyFont="1" applyFill="1" applyBorder="1" applyAlignment="1">
      <alignment horizontal="center" vertical="center"/>
    </xf>
    <xf numFmtId="9" fontId="4" fillId="3" borderId="1" xfId="0" applyNumberFormat="1" applyFont="1" applyFill="1" applyBorder="1" applyAlignment="1">
      <alignment horizontal="right" vertical="center" indent="1"/>
    </xf>
    <xf numFmtId="0" fontId="4" fillId="4" borderId="1" xfId="0" applyFont="1" applyFill="1" applyBorder="1" applyAlignment="1">
      <alignment horizontal="center" vertical="center"/>
    </xf>
    <xf numFmtId="0" fontId="5" fillId="0" borderId="2" xfId="1" applyAlignment="1">
      <alignment horizontal="center"/>
    </xf>
  </cellXfs>
  <cellStyles count="2">
    <cellStyle name="Normal" xfId="0" builtinId="0"/>
    <cellStyle name="Título 2" xfId="1" builtinId="17"/>
  </cellStyles>
  <dxfs count="2">
    <dxf>
      <fill>
        <patternFill>
          <bgColor rgb="FFE8B4A8"/>
        </patternFill>
      </fill>
    </dxf>
    <dxf>
      <fill>
        <patternFill>
          <bgColor rgb="FFE8B4A8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2A1"/>
      <rgbColor rgb="FF7F6F5A"/>
      <rgbColor rgb="FF9999FF"/>
      <rgbColor rgb="FF993366"/>
      <rgbColor rgb="FFFBEFB5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FE6D8"/>
      <rgbColor rgb="FFFFFF99"/>
      <rgbColor rgb="FF95B3D7"/>
      <rgbColor rgb="FFE8B4A8"/>
      <rgbColor rgb="FFCC99FF"/>
      <rgbColor rgb="FFD9C9A8"/>
      <rgbColor rgb="FF4F81BD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2B2B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Divisão do aporte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Simulador!$D$20</c:f>
              <c:strCache>
                <c:ptCount val="1"/>
                <c:pt idx="0">
                  <c:v>% do aporte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F497D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3D58-46F4-9227-05BAE13A8C1E}"/>
              </c:ext>
            </c:extLst>
          </c:dPt>
          <c:dPt>
            <c:idx val="1"/>
            <c:bubble3D val="0"/>
            <c:spPr>
              <a:solidFill>
                <a:srgbClr val="4F81BD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3D58-46F4-9227-05BAE13A8C1E}"/>
              </c:ext>
            </c:extLst>
          </c:dPt>
          <c:dPt>
            <c:idx val="2"/>
            <c:bubble3D val="0"/>
            <c:spPr>
              <a:solidFill>
                <a:srgbClr val="95B3D7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3D58-46F4-9227-05BAE13A8C1E}"/>
              </c:ext>
            </c:extLst>
          </c:dPt>
          <c:dPt>
            <c:idx val="3"/>
            <c:bubble3D val="0"/>
            <c:spPr>
              <a:solidFill>
                <a:srgbClr val="7F6F5A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3D58-46F4-9227-05BAE13A8C1E}"/>
              </c:ext>
            </c:extLst>
          </c:dPt>
          <c:dPt>
            <c:idx val="4"/>
            <c:bubble3D val="0"/>
            <c:spPr>
              <a:solidFill>
                <a:srgbClr val="BDB2A1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3D58-46F4-9227-05BAE13A8C1E}"/>
              </c:ext>
            </c:extLst>
          </c:dPt>
          <c:dPt>
            <c:idx val="5"/>
            <c:bubble3D val="0"/>
            <c:spPr>
              <a:solidFill>
                <a:srgbClr val="D9C9A8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3D58-46F4-9227-05BAE13A8C1E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3D58-46F4-9227-05BAE13A8C1E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3D58-46F4-9227-05BAE13A8C1E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3D58-46F4-9227-05BAE13A8C1E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3D58-46F4-9227-05BAE13A8C1E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3D58-46F4-9227-05BAE13A8C1E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3D58-46F4-9227-05BAE13A8C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Simulador!$C$21:$C$26</c:f>
              <c:strCache>
                <c:ptCount val="6"/>
                <c:pt idx="0">
                  <c:v>Papel (CRI)</c:v>
                </c:pt>
                <c:pt idx="1">
                  <c:v>Logística</c:v>
                </c:pt>
                <c:pt idx="2">
                  <c:v>Shoppings</c:v>
                </c:pt>
                <c:pt idx="3">
                  <c:v>Lajes corporativas</c:v>
                </c:pt>
                <c:pt idx="4">
                  <c:v>Fundos de fundos (FoF)</c:v>
                </c:pt>
                <c:pt idx="5">
                  <c:v>Híbridos e desenvolvimento</c:v>
                </c:pt>
              </c:strCache>
            </c:strRef>
          </c:cat>
          <c:val>
            <c:numRef>
              <c:f>Simulador!$D$21:$D$26</c:f>
              <c:numCache>
                <c:formatCode>0%</c:formatCode>
                <c:ptCount val="6"/>
                <c:pt idx="0">
                  <c:v>0.4</c:v>
                </c:pt>
                <c:pt idx="1">
                  <c:v>0.2</c:v>
                </c:pt>
                <c:pt idx="2">
                  <c:v>0.1</c:v>
                </c:pt>
                <c:pt idx="3">
                  <c:v>0.05</c:v>
                </c:pt>
                <c:pt idx="4">
                  <c:v>0.2</c:v>
                </c:pt>
                <c:pt idx="5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D58-46F4-9227-05BAE13A8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65986303456171602"/>
          <c:y val="0.22944715620954623"/>
          <c:w val="0.3001186893752002"/>
          <c:h val="0.7279837531620764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360">
      <a:solidFill>
        <a:schemeClr val="bg1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19</xdr:row>
      <xdr:rowOff>38100</xdr:rowOff>
    </xdr:from>
    <xdr:to>
      <xdr:col>7</xdr:col>
      <xdr:colOff>1084110</xdr:colOff>
      <xdr:row>28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H39"/>
  <sheetViews>
    <sheetView showGridLines="0" showRowColHeaders="0" tabSelected="1" zoomScaleNormal="100" workbookViewId="0">
      <selection activeCell="N21" sqref="N2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8.7109375" defaultRowHeight="15" x14ac:dyDescent="0.25"/>
  <cols>
    <col min="1" max="1" width="2" customWidth="1"/>
    <col min="2" max="2" width="11.28515625" customWidth="1"/>
    <col min="3" max="3" width="34" customWidth="1"/>
    <col min="4" max="4" width="20" customWidth="1"/>
    <col min="5" max="5" width="22" customWidth="1"/>
    <col min="6" max="6" width="20" customWidth="1"/>
    <col min="7" max="8" width="22" customWidth="1"/>
    <col min="9" max="9" width="2" customWidth="1"/>
  </cols>
  <sheetData>
    <row r="2" spans="3:8" x14ac:dyDescent="0.25">
      <c r="C2" s="1" t="s">
        <v>0</v>
      </c>
      <c r="D2" s="1"/>
      <c r="E2" s="1"/>
      <c r="F2" s="1"/>
      <c r="G2" s="1"/>
      <c r="H2" s="1"/>
    </row>
    <row r="3" spans="3:8" x14ac:dyDescent="0.25">
      <c r="C3" s="1"/>
      <c r="D3" s="1"/>
      <c r="E3" s="1"/>
      <c r="F3" s="1"/>
      <c r="G3" s="1"/>
      <c r="H3" s="1"/>
    </row>
    <row r="4" spans="3:8" x14ac:dyDescent="0.25">
      <c r="C4" s="2" t="s">
        <v>1</v>
      </c>
    </row>
    <row r="5" spans="3:8" ht="18" thickBot="1" x14ac:dyDescent="0.35">
      <c r="C5" s="20" t="s">
        <v>54</v>
      </c>
      <c r="D5" s="20"/>
      <c r="E5" s="20"/>
      <c r="F5" s="20"/>
      <c r="G5" s="20"/>
      <c r="H5" s="20"/>
    </row>
    <row r="6" spans="3:8" ht="15.75" thickTop="1" x14ac:dyDescent="0.25">
      <c r="C6" s="3" t="s">
        <v>2</v>
      </c>
      <c r="D6" s="4">
        <v>1000</v>
      </c>
      <c r="E6" s="5" t="str">
        <f>"Sugestão ("&amp;ROUND(pct_aporte*100,0)&amp;"% do salário):"</f>
        <v>Sugestão (30% do salário):</v>
      </c>
      <c r="G6" s="6">
        <f>sugestao_aporte</f>
        <v>1500</v>
      </c>
    </row>
    <row r="7" spans="3:8" x14ac:dyDescent="0.25">
      <c r="C7" s="3" t="s">
        <v>3</v>
      </c>
      <c r="D7" s="7">
        <v>10</v>
      </c>
      <c r="E7" s="5" t="s">
        <v>4</v>
      </c>
    </row>
    <row r="8" spans="3:8" x14ac:dyDescent="0.25">
      <c r="C8" s="3" t="s">
        <v>5</v>
      </c>
      <c r="D8" s="8">
        <v>8.0000000000000002E-3</v>
      </c>
      <c r="E8" s="5" t="s">
        <v>6</v>
      </c>
    </row>
    <row r="9" spans="3:8" x14ac:dyDescent="0.25">
      <c r="C9" s="3" t="s">
        <v>7</v>
      </c>
      <c r="D9" s="9" t="s">
        <v>46</v>
      </c>
      <c r="E9" s="5" t="s">
        <v>9</v>
      </c>
    </row>
    <row r="11" spans="3:8" ht="18" thickBot="1" x14ac:dyDescent="0.35">
      <c r="C11" s="20" t="s">
        <v>55</v>
      </c>
      <c r="D11" s="20"/>
      <c r="E11" s="20"/>
      <c r="F11" s="20"/>
      <c r="G11" s="20"/>
      <c r="H11" s="20"/>
    </row>
    <row r="12" spans="3:8" ht="15.75" thickTop="1" x14ac:dyDescent="0.25">
      <c r="C12" s="10" t="s">
        <v>10</v>
      </c>
      <c r="D12" s="10" t="s">
        <v>11</v>
      </c>
      <c r="E12" s="10" t="s">
        <v>12</v>
      </c>
    </row>
    <row r="13" spans="3:8" x14ac:dyDescent="0.25">
      <c r="C13" s="11" t="s">
        <v>13</v>
      </c>
      <c r="D13" s="6">
        <f>aporte</f>
        <v>1000</v>
      </c>
      <c r="E13" s="6">
        <f>sugestao_aporte</f>
        <v>1500</v>
      </c>
    </row>
    <row r="14" spans="3:8" x14ac:dyDescent="0.25">
      <c r="C14" s="11" t="s">
        <v>14</v>
      </c>
      <c r="D14" s="6">
        <f>D13*anos*12</f>
        <v>120000</v>
      </c>
      <c r="E14" s="6">
        <f>E13*anos*12</f>
        <v>180000</v>
      </c>
    </row>
    <row r="15" spans="3:8" x14ac:dyDescent="0.25">
      <c r="C15" s="3" t="s">
        <v>15</v>
      </c>
      <c r="D15" s="12">
        <f>FV(taxa_mensal,anos*12,-D13)</f>
        <v>200217.46940991812</v>
      </c>
      <c r="E15" s="12">
        <f>FV(taxa_mensal,anos*12,-E13)</f>
        <v>300326.20411487721</v>
      </c>
    </row>
    <row r="16" spans="3:8" x14ac:dyDescent="0.25">
      <c r="C16" s="11" t="s">
        <v>16</v>
      </c>
      <c r="D16" s="6">
        <f>D15-D14</f>
        <v>80217.469409918122</v>
      </c>
      <c r="E16" s="6">
        <f>E15-E14</f>
        <v>120326.20411487721</v>
      </c>
    </row>
    <row r="17" spans="3:8" x14ac:dyDescent="0.25">
      <c r="C17" s="3" t="s">
        <v>17</v>
      </c>
      <c r="D17" s="12">
        <f>D15*taxa_mensal</f>
        <v>1601.739755279345</v>
      </c>
      <c r="E17" s="12">
        <f>E15*taxa_mensal</f>
        <v>2402.6096329190177</v>
      </c>
    </row>
    <row r="19" spans="3:8" ht="18" customHeight="1" thickBot="1" x14ac:dyDescent="0.35">
      <c r="C19" s="20" t="s">
        <v>56</v>
      </c>
      <c r="D19" s="20"/>
      <c r="E19" s="20"/>
      <c r="F19" s="20"/>
      <c r="G19" s="20"/>
      <c r="H19" s="20"/>
    </row>
    <row r="20" spans="3:8" ht="18" customHeight="1" thickTop="1" x14ac:dyDescent="0.25">
      <c r="C20" s="10" t="s">
        <v>18</v>
      </c>
      <c r="D20" s="10" t="s">
        <v>19</v>
      </c>
      <c r="E20" s="10" t="s">
        <v>20</v>
      </c>
    </row>
    <row r="21" spans="3:8" ht="18" customHeight="1" x14ac:dyDescent="0.25">
      <c r="C21" s="13" t="str">
        <f>Perfis!F5</f>
        <v>Papel (CRI)</v>
      </c>
      <c r="D21" s="14">
        <f t="shared" ref="D21:D26" si="0">VLOOKUP(perfil&amp;"|"&amp;C21,tabela_perfis,4,FALSE())</f>
        <v>0.4</v>
      </c>
      <c r="E21" s="6">
        <f t="shared" ref="E21:E26" si="1">D21*aporte</f>
        <v>400</v>
      </c>
    </row>
    <row r="22" spans="3:8" ht="18" customHeight="1" x14ac:dyDescent="0.25">
      <c r="C22" s="13" t="str">
        <f>Perfis!F6</f>
        <v>Logística</v>
      </c>
      <c r="D22" s="14">
        <f t="shared" si="0"/>
        <v>0.2</v>
      </c>
      <c r="E22" s="6">
        <f t="shared" si="1"/>
        <v>200</v>
      </c>
    </row>
    <row r="23" spans="3:8" ht="18" customHeight="1" x14ac:dyDescent="0.25">
      <c r="C23" s="13" t="str">
        <f>Perfis!F7</f>
        <v>Shoppings</v>
      </c>
      <c r="D23" s="14">
        <f t="shared" si="0"/>
        <v>0.1</v>
      </c>
      <c r="E23" s="6">
        <f t="shared" si="1"/>
        <v>100</v>
      </c>
    </row>
    <row r="24" spans="3:8" ht="18" customHeight="1" x14ac:dyDescent="0.25">
      <c r="C24" s="13" t="str">
        <f>Perfis!F8</f>
        <v>Lajes corporativas</v>
      </c>
      <c r="D24" s="14">
        <f t="shared" si="0"/>
        <v>0.05</v>
      </c>
      <c r="E24" s="6">
        <f t="shared" si="1"/>
        <v>50</v>
      </c>
    </row>
    <row r="25" spans="3:8" ht="18" customHeight="1" x14ac:dyDescent="0.25">
      <c r="C25" s="13" t="str">
        <f>Perfis!F9</f>
        <v>Fundos de fundos (FoF)</v>
      </c>
      <c r="D25" s="14">
        <f t="shared" si="0"/>
        <v>0.2</v>
      </c>
      <c r="E25" s="6">
        <f t="shared" si="1"/>
        <v>200</v>
      </c>
    </row>
    <row r="26" spans="3:8" ht="18" customHeight="1" x14ac:dyDescent="0.25">
      <c r="C26" s="13" t="str">
        <f>Perfis!F10</f>
        <v>Híbridos e desenvolvimento</v>
      </c>
      <c r="D26" s="14">
        <f t="shared" si="0"/>
        <v>0.05</v>
      </c>
      <c r="E26" s="6">
        <f t="shared" si="1"/>
        <v>50</v>
      </c>
    </row>
    <row r="27" spans="3:8" ht="18" customHeight="1" x14ac:dyDescent="0.25">
      <c r="C27" s="15" t="s">
        <v>21</v>
      </c>
      <c r="D27" s="16">
        <f>SUM(D21:D26)</f>
        <v>1.0000000000000002</v>
      </c>
      <c r="E27" s="12">
        <f>SUM(E21:E26)</f>
        <v>1000</v>
      </c>
    </row>
    <row r="30" spans="3:8" ht="18" thickBot="1" x14ac:dyDescent="0.35">
      <c r="C30" s="20" t="s">
        <v>57</v>
      </c>
      <c r="D30" s="20"/>
      <c r="E30" s="20"/>
      <c r="F30" s="20"/>
      <c r="G30" s="20"/>
      <c r="H30" s="20"/>
    </row>
    <row r="31" spans="3:8" ht="30" customHeight="1" thickTop="1" x14ac:dyDescent="0.25">
      <c r="C31" s="10" t="s">
        <v>22</v>
      </c>
      <c r="D31" s="10" t="s">
        <v>14</v>
      </c>
      <c r="E31" s="10" t="s">
        <v>23</v>
      </c>
      <c r="F31" s="10" t="s">
        <v>17</v>
      </c>
      <c r="G31" s="10" t="s">
        <v>24</v>
      </c>
      <c r="H31" s="10" t="s">
        <v>25</v>
      </c>
    </row>
    <row r="32" spans="3:8" x14ac:dyDescent="0.25">
      <c r="C32" s="17">
        <v>2</v>
      </c>
      <c r="D32" s="6">
        <f>aporte*$C32*12</f>
        <v>24000</v>
      </c>
      <c r="E32" s="6">
        <f>FV(taxa_mensal,$C32*12,-aporte)</f>
        <v>26343.155111119566</v>
      </c>
      <c r="F32" s="6">
        <f>E32*taxa_mensal</f>
        <v>210.74524088895654</v>
      </c>
      <c r="G32" s="6">
        <f>FV(taxa_mensal,$C32*12,-sugestao_aporte)</f>
        <v>39514.732666679345</v>
      </c>
      <c r="H32" s="6">
        <f>G32*taxa_mensal</f>
        <v>316.11786133343475</v>
      </c>
    </row>
    <row r="33" spans="3:8" x14ac:dyDescent="0.25">
      <c r="C33" s="17">
        <v>5</v>
      </c>
      <c r="D33" s="6">
        <f>aporte*$C33*12</f>
        <v>60000</v>
      </c>
      <c r="E33" s="6">
        <f>FV(taxa_mensal,$C33*12,-aporte)</f>
        <v>76623.866831880223</v>
      </c>
      <c r="F33" s="6">
        <f>E33*taxa_mensal</f>
        <v>612.99093465504177</v>
      </c>
      <c r="G33" s="6">
        <f>FV(taxa_mensal,$C33*12,-sugestao_aporte)</f>
        <v>114935.80024782033</v>
      </c>
      <c r="H33" s="6">
        <f>G33*taxa_mensal</f>
        <v>919.4864019825626</v>
      </c>
    </row>
    <row r="34" spans="3:8" x14ac:dyDescent="0.25">
      <c r="C34" s="17">
        <v>10</v>
      </c>
      <c r="D34" s="6">
        <f>aporte*$C34*12</f>
        <v>120000</v>
      </c>
      <c r="E34" s="6">
        <f>FV(taxa_mensal,$C34*12,-aporte)</f>
        <v>200217.46940991812</v>
      </c>
      <c r="F34" s="6">
        <f>E34*taxa_mensal</f>
        <v>1601.739755279345</v>
      </c>
      <c r="G34" s="6">
        <f>FV(taxa_mensal,$C34*12,-sugestao_aporte)</f>
        <v>300326.20411487721</v>
      </c>
      <c r="H34" s="6">
        <f>G34*taxa_mensal</f>
        <v>2402.6096329190177</v>
      </c>
    </row>
    <row r="35" spans="3:8" x14ac:dyDescent="0.25">
      <c r="C35" s="17">
        <v>20</v>
      </c>
      <c r="D35" s="6">
        <f>aporte*$C35*12</f>
        <v>240000</v>
      </c>
      <c r="E35" s="6">
        <f>FV(taxa_mensal,$C35*12,-aporte)</f>
        <v>721131.21927512833</v>
      </c>
      <c r="F35" s="6">
        <f>E35*taxa_mensal</f>
        <v>5769.0497542010271</v>
      </c>
      <c r="G35" s="6">
        <f>FV(taxa_mensal,$C35*12,-sugestao_aporte)</f>
        <v>1081696.8289126926</v>
      </c>
      <c r="H35" s="6">
        <f>G35*taxa_mensal</f>
        <v>8653.5746313015406</v>
      </c>
    </row>
    <row r="36" spans="3:8" x14ac:dyDescent="0.25">
      <c r="C36" s="17">
        <v>30</v>
      </c>
      <c r="D36" s="6">
        <f>aporte*$C36*12</f>
        <v>360000</v>
      </c>
      <c r="E36" s="6">
        <f>FV(taxa_mensal,$C36*12,-aporte)</f>
        <v>2076413.2313710852</v>
      </c>
      <c r="F36" s="6">
        <f>E36*taxa_mensal</f>
        <v>16611.305850968682</v>
      </c>
      <c r="G36" s="6">
        <f>FV(taxa_mensal,$C36*12,-sugestao_aporte)</f>
        <v>3114619.8470566277</v>
      </c>
      <c r="H36" s="6">
        <f>G36*taxa_mensal</f>
        <v>24916.958776453022</v>
      </c>
    </row>
    <row r="38" spans="3:8" x14ac:dyDescent="0.25">
      <c r="C38" s="2" t="s">
        <v>26</v>
      </c>
    </row>
    <row r="39" spans="3:8" x14ac:dyDescent="0.25">
      <c r="C39" s="2" t="s">
        <v>27</v>
      </c>
    </row>
  </sheetData>
  <mergeCells count="5">
    <mergeCell ref="C2:H3"/>
    <mergeCell ref="C5:H5"/>
    <mergeCell ref="C11:H11"/>
    <mergeCell ref="C19:H19"/>
    <mergeCell ref="C30:H30"/>
  </mergeCells>
  <conditionalFormatting sqref="D27">
    <cfRule type="expression" dxfId="1" priority="2">
      <formula>ROUND($D$27,4)&lt;&gt;1</formula>
    </cfRule>
  </conditionalFormatting>
  <dataValidations count="4">
    <dataValidation type="list" showErrorMessage="1" errorTitle="Perfil" error="Escolha um perfil da lista." sqref="D9" xr:uid="{00000000-0002-0000-0000-000000000000}">
      <formula1>lista_perfis</formula1>
      <formula2>0</formula2>
    </dataValidation>
    <dataValidation type="whole" showErrorMessage="1" errorTitle="Prazo" error="Informe um número inteiro de 1 a 30." sqref="D7" xr:uid="{00000000-0002-0000-0000-000001000000}">
      <formula1>1</formula1>
      <formula2>30</formula2>
    </dataValidation>
    <dataValidation type="decimal" operator="greaterThanOrEqual" showErrorMessage="1" errorTitle="Aporte" error="Informe um valor maior ou igual a zero." sqref="D6" xr:uid="{00000000-0002-0000-0000-000002000000}">
      <formula1>0</formula1>
      <formula2>0</formula2>
    </dataValidation>
    <dataValidation type="decimal" showErrorMessage="1" errorTitle="Taxa mensal" error="Informe uma taxa mensal entre 0% e 5%." sqref="D8" xr:uid="{00000000-0002-0000-0000-000003000000}">
      <formula1>0</formula1>
      <formula2>0.05</formula2>
    </dataValidation>
  </dataValidations>
  <printOptions horizontalCentered="1"/>
  <pageMargins left="0.75" right="0.75" top="1" bottom="1" header="0.511811023622047" footer="0.511811023622047"/>
  <pageSetup paperSize="9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E9"/>
  <sheetViews>
    <sheetView showGridLines="0" showRowColHeaders="0" zoomScaleNormal="100" workbookViewId="0">
      <selection activeCell="D9" sqref="D9"/>
    </sheetView>
  </sheetViews>
  <sheetFormatPr defaultColWidth="8.7109375" defaultRowHeight="15" x14ac:dyDescent="0.25"/>
  <cols>
    <col min="1" max="1" width="2" customWidth="1"/>
    <col min="2" max="2" width="40" customWidth="1"/>
    <col min="3" max="3" width="20" customWidth="1"/>
    <col min="4" max="4" width="44" customWidth="1"/>
    <col min="5" max="5" width="2" customWidth="1"/>
  </cols>
  <sheetData>
    <row r="2" spans="2:5" x14ac:dyDescent="0.25">
      <c r="B2" s="1" t="s">
        <v>28</v>
      </c>
      <c r="C2" s="1"/>
      <c r="D2" s="1"/>
      <c r="E2" s="1"/>
    </row>
    <row r="3" spans="2:5" x14ac:dyDescent="0.25">
      <c r="B3" s="1"/>
      <c r="C3" s="1"/>
      <c r="D3" s="1"/>
      <c r="E3" s="1"/>
    </row>
    <row r="4" spans="2:5" x14ac:dyDescent="0.25">
      <c r="B4" s="2" t="s">
        <v>29</v>
      </c>
    </row>
    <row r="6" spans="2:5" x14ac:dyDescent="0.25">
      <c r="B6" s="10" t="s">
        <v>30</v>
      </c>
      <c r="C6" s="10" t="s">
        <v>31</v>
      </c>
      <c r="D6" s="10" t="s">
        <v>32</v>
      </c>
    </row>
    <row r="7" spans="2:5" x14ac:dyDescent="0.25">
      <c r="B7" s="3" t="s">
        <v>33</v>
      </c>
      <c r="C7" s="4">
        <v>5000</v>
      </c>
      <c r="D7" s="2" t="s">
        <v>34</v>
      </c>
    </row>
    <row r="8" spans="2:5" x14ac:dyDescent="0.25">
      <c r="B8" s="3" t="s">
        <v>35</v>
      </c>
      <c r="C8" s="18">
        <v>0.3</v>
      </c>
      <c r="D8" s="2" t="s">
        <v>36</v>
      </c>
    </row>
    <row r="9" spans="2:5" x14ac:dyDescent="0.25">
      <c r="B9" s="3" t="s">
        <v>37</v>
      </c>
      <c r="C9" s="6">
        <f>salario*pct_aporte</f>
        <v>1500</v>
      </c>
      <c r="D9" s="2" t="s">
        <v>38</v>
      </c>
    </row>
  </sheetData>
  <mergeCells count="1">
    <mergeCell ref="B2:E3"/>
  </mergeCells>
  <dataValidations count="1">
    <dataValidation type="decimal" showErrorMessage="1" errorTitle="Percentual" error="Informe um valor entre 0% e 100%." sqref="C8" xr:uid="{00000000-0002-0000-0100-000000000000}">
      <formula1>0</formula1>
      <formula2>1</formula2>
    </dataValidation>
  </dataValidations>
  <printOptions horizontalCentered="1"/>
  <pageMargins left="0.75" right="0.75" top="1" bottom="1" header="0.511811023622047" footer="0.511811023622047"/>
  <pageSetup paperSize="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22"/>
  <sheetViews>
    <sheetView showGridLines="0" showRowColHeaders="0" zoomScaleNormal="100" workbookViewId="0">
      <selection activeCell="F28" sqref="F28"/>
    </sheetView>
  </sheetViews>
  <sheetFormatPr defaultColWidth="8.7109375" defaultRowHeight="15" x14ac:dyDescent="0.25"/>
  <cols>
    <col min="1" max="1" width="34" customWidth="1"/>
    <col min="2" max="2" width="16" customWidth="1"/>
    <col min="3" max="3" width="30" customWidth="1"/>
    <col min="4" max="4" width="14" customWidth="1"/>
    <col min="5" max="5" width="3" customWidth="1"/>
    <col min="6" max="6" width="30" customWidth="1"/>
    <col min="7" max="7" width="3" customWidth="1"/>
    <col min="8" max="8" width="16" customWidth="1"/>
    <col min="9" max="10" width="14" customWidth="1"/>
  </cols>
  <sheetData>
    <row r="1" spans="1:10" x14ac:dyDescent="0.25">
      <c r="A1" s="1" t="s">
        <v>39</v>
      </c>
      <c r="B1" s="1"/>
      <c r="C1" s="1"/>
      <c r="D1" s="1"/>
    </row>
    <row r="2" spans="1:10" x14ac:dyDescent="0.25">
      <c r="A2" s="1"/>
      <c r="B2" s="1"/>
      <c r="C2" s="1"/>
      <c r="D2" s="1"/>
    </row>
    <row r="3" spans="1:10" x14ac:dyDescent="0.25">
      <c r="A3" s="2"/>
    </row>
    <row r="4" spans="1:10" x14ac:dyDescent="0.25">
      <c r="A4" s="10" t="s">
        <v>40</v>
      </c>
      <c r="B4" s="10" t="s">
        <v>41</v>
      </c>
      <c r="C4" s="10" t="s">
        <v>18</v>
      </c>
      <c r="D4" s="10" t="s">
        <v>42</v>
      </c>
      <c r="F4" s="10" t="s">
        <v>43</v>
      </c>
      <c r="H4" s="10" t="s">
        <v>41</v>
      </c>
      <c r="I4" s="10" t="s">
        <v>44</v>
      </c>
      <c r="J4" s="10" t="s">
        <v>45</v>
      </c>
    </row>
    <row r="5" spans="1:10" x14ac:dyDescent="0.25">
      <c r="A5" s="13" t="str">
        <f t="shared" ref="A5:A22" si="0">B5&amp;"|"&amp;C5</f>
        <v>Conservador|Papel (CRI)</v>
      </c>
      <c r="B5" s="11" t="s">
        <v>46</v>
      </c>
      <c r="C5" s="11" t="s">
        <v>47</v>
      </c>
      <c r="D5" s="18">
        <v>0.4</v>
      </c>
      <c r="F5" s="11" t="s">
        <v>47</v>
      </c>
      <c r="H5" s="11" t="s">
        <v>46</v>
      </c>
      <c r="I5" s="14">
        <f>SUMIF($B$5:$B$22,H5,$D$5:$D$22)</f>
        <v>1.0000000000000002</v>
      </c>
      <c r="J5" s="19" t="str">
        <f>IF(ROUND(I5,4)=1,"OK","Ajustar")</f>
        <v>OK</v>
      </c>
    </row>
    <row r="6" spans="1:10" x14ac:dyDescent="0.25">
      <c r="A6" s="13" t="str">
        <f t="shared" si="0"/>
        <v>Conservador|Logística</v>
      </c>
      <c r="B6" s="11" t="s">
        <v>46</v>
      </c>
      <c r="C6" s="11" t="s">
        <v>48</v>
      </c>
      <c r="D6" s="18">
        <v>0.2</v>
      </c>
      <c r="F6" s="11" t="s">
        <v>48</v>
      </c>
      <c r="H6" s="11" t="s">
        <v>8</v>
      </c>
      <c r="I6" s="14">
        <f>SUMIF($B$5:$B$22,H6,$D$5:$D$22)</f>
        <v>1</v>
      </c>
      <c r="J6" s="19" t="str">
        <f>IF(ROUND(I6,4)=1,"OK","Ajustar")</f>
        <v>OK</v>
      </c>
    </row>
    <row r="7" spans="1:10" x14ac:dyDescent="0.25">
      <c r="A7" s="13" t="str">
        <f t="shared" si="0"/>
        <v>Conservador|Shoppings</v>
      </c>
      <c r="B7" s="11" t="s">
        <v>46</v>
      </c>
      <c r="C7" s="11" t="s">
        <v>49</v>
      </c>
      <c r="D7" s="18">
        <v>0.1</v>
      </c>
      <c r="F7" s="11" t="s">
        <v>49</v>
      </c>
      <c r="H7" s="11" t="s">
        <v>50</v>
      </c>
      <c r="I7" s="14">
        <f>SUMIF($B$5:$B$22,H7,$D$5:$D$22)</f>
        <v>1</v>
      </c>
      <c r="J7" s="19" t="str">
        <f>IF(ROUND(I7,4)=1,"OK","Ajustar")</f>
        <v>OK</v>
      </c>
    </row>
    <row r="8" spans="1:10" x14ac:dyDescent="0.25">
      <c r="A8" s="13" t="str">
        <f t="shared" si="0"/>
        <v>Conservador|Lajes corporativas</v>
      </c>
      <c r="B8" s="11" t="s">
        <v>46</v>
      </c>
      <c r="C8" s="11" t="s">
        <v>51</v>
      </c>
      <c r="D8" s="18">
        <v>0.05</v>
      </c>
      <c r="F8" s="11" t="s">
        <v>51</v>
      </c>
    </row>
    <row r="9" spans="1:10" x14ac:dyDescent="0.25">
      <c r="A9" s="13" t="str">
        <f t="shared" si="0"/>
        <v>Conservador|Fundos de fundos (FoF)</v>
      </c>
      <c r="B9" s="11" t="s">
        <v>46</v>
      </c>
      <c r="C9" s="11" t="s">
        <v>52</v>
      </c>
      <c r="D9" s="18">
        <v>0.2</v>
      </c>
      <c r="F9" s="11" t="s">
        <v>52</v>
      </c>
    </row>
    <row r="10" spans="1:10" x14ac:dyDescent="0.25">
      <c r="A10" s="13" t="str">
        <f t="shared" si="0"/>
        <v>Conservador|Híbridos e desenvolvimento</v>
      </c>
      <c r="B10" s="11" t="s">
        <v>46</v>
      </c>
      <c r="C10" s="11" t="s">
        <v>53</v>
      </c>
      <c r="D10" s="18">
        <v>0.05</v>
      </c>
      <c r="F10" s="11" t="s">
        <v>53</v>
      </c>
    </row>
    <row r="11" spans="1:10" x14ac:dyDescent="0.25">
      <c r="A11" s="13" t="str">
        <f t="shared" si="0"/>
        <v>Moderado|Papel (CRI)</v>
      </c>
      <c r="B11" s="11" t="s">
        <v>8</v>
      </c>
      <c r="C11" s="11" t="s">
        <v>47</v>
      </c>
      <c r="D11" s="18">
        <v>0.3</v>
      </c>
    </row>
    <row r="12" spans="1:10" x14ac:dyDescent="0.25">
      <c r="A12" s="13" t="str">
        <f t="shared" si="0"/>
        <v>Moderado|Logística</v>
      </c>
      <c r="B12" s="11" t="s">
        <v>8</v>
      </c>
      <c r="C12" s="11" t="s">
        <v>48</v>
      </c>
      <c r="D12" s="18">
        <v>0.25</v>
      </c>
    </row>
    <row r="13" spans="1:10" x14ac:dyDescent="0.25">
      <c r="A13" s="13" t="str">
        <f t="shared" si="0"/>
        <v>Moderado|Shoppings</v>
      </c>
      <c r="B13" s="11" t="s">
        <v>8</v>
      </c>
      <c r="C13" s="11" t="s">
        <v>49</v>
      </c>
      <c r="D13" s="18">
        <v>0.15</v>
      </c>
    </row>
    <row r="14" spans="1:10" x14ac:dyDescent="0.25">
      <c r="A14" s="13" t="str">
        <f t="shared" si="0"/>
        <v>Moderado|Lajes corporativas</v>
      </c>
      <c r="B14" s="11" t="s">
        <v>8</v>
      </c>
      <c r="C14" s="11" t="s">
        <v>51</v>
      </c>
      <c r="D14" s="18">
        <v>0.1</v>
      </c>
    </row>
    <row r="15" spans="1:10" x14ac:dyDescent="0.25">
      <c r="A15" s="13" t="str">
        <f t="shared" si="0"/>
        <v>Moderado|Fundos de fundos (FoF)</v>
      </c>
      <c r="B15" s="11" t="s">
        <v>8</v>
      </c>
      <c r="C15" s="11" t="s">
        <v>52</v>
      </c>
      <c r="D15" s="18">
        <v>0.15</v>
      </c>
    </row>
    <row r="16" spans="1:10" x14ac:dyDescent="0.25">
      <c r="A16" s="13" t="str">
        <f t="shared" si="0"/>
        <v>Moderado|Híbridos e desenvolvimento</v>
      </c>
      <c r="B16" s="11" t="s">
        <v>8</v>
      </c>
      <c r="C16" s="11" t="s">
        <v>53</v>
      </c>
      <c r="D16" s="18">
        <v>0.05</v>
      </c>
    </row>
    <row r="17" spans="1:4" x14ac:dyDescent="0.25">
      <c r="A17" s="13" t="str">
        <f t="shared" si="0"/>
        <v>Arrojado|Papel (CRI)</v>
      </c>
      <c r="B17" s="11" t="s">
        <v>50</v>
      </c>
      <c r="C17" s="11" t="s">
        <v>47</v>
      </c>
      <c r="D17" s="18">
        <v>0.15</v>
      </c>
    </row>
    <row r="18" spans="1:4" x14ac:dyDescent="0.25">
      <c r="A18" s="13" t="str">
        <f t="shared" si="0"/>
        <v>Arrojado|Logística</v>
      </c>
      <c r="B18" s="11" t="s">
        <v>50</v>
      </c>
      <c r="C18" s="11" t="s">
        <v>48</v>
      </c>
      <c r="D18" s="18">
        <v>0.25</v>
      </c>
    </row>
    <row r="19" spans="1:4" x14ac:dyDescent="0.25">
      <c r="A19" s="13" t="str">
        <f t="shared" si="0"/>
        <v>Arrojado|Shoppings</v>
      </c>
      <c r="B19" s="11" t="s">
        <v>50</v>
      </c>
      <c r="C19" s="11" t="s">
        <v>49</v>
      </c>
      <c r="D19" s="18">
        <v>0.2</v>
      </c>
    </row>
    <row r="20" spans="1:4" x14ac:dyDescent="0.25">
      <c r="A20" s="13" t="str">
        <f t="shared" si="0"/>
        <v>Arrojado|Lajes corporativas</v>
      </c>
      <c r="B20" s="11" t="s">
        <v>50</v>
      </c>
      <c r="C20" s="11" t="s">
        <v>51</v>
      </c>
      <c r="D20" s="18">
        <v>0.15</v>
      </c>
    </row>
    <row r="21" spans="1:4" x14ac:dyDescent="0.25">
      <c r="A21" s="13" t="str">
        <f t="shared" si="0"/>
        <v>Arrojado|Fundos de fundos (FoF)</v>
      </c>
      <c r="B21" s="11" t="s">
        <v>50</v>
      </c>
      <c r="C21" s="11" t="s">
        <v>52</v>
      </c>
      <c r="D21" s="18">
        <v>0.1</v>
      </c>
    </row>
    <row r="22" spans="1:4" x14ac:dyDescent="0.25">
      <c r="A22" s="13" t="str">
        <f t="shared" si="0"/>
        <v>Arrojado|Híbridos e desenvolvimento</v>
      </c>
      <c r="B22" s="11" t="s">
        <v>50</v>
      </c>
      <c r="C22" s="11" t="s">
        <v>53</v>
      </c>
      <c r="D22" s="18">
        <v>0.15</v>
      </c>
    </row>
  </sheetData>
  <mergeCells count="1">
    <mergeCell ref="A1:D2"/>
  </mergeCells>
  <conditionalFormatting sqref="I5:J7">
    <cfRule type="expression" dxfId="0" priority="2">
      <formula>ROUND($I5,4)&lt;&gt;1</formula>
    </cfRule>
  </conditionalFormatting>
  <printOptions horizontalCentered="1"/>
  <pageMargins left="0.75" right="0.75" top="1" bottom="1" header="0.511811023622047" footer="0.511811023622047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12</vt:i4>
      </vt:variant>
    </vt:vector>
  </HeadingPairs>
  <TitlesOfParts>
    <vt:vector size="15" baseType="lpstr">
      <vt:lpstr>Simulador</vt:lpstr>
      <vt:lpstr>Configurações</vt:lpstr>
      <vt:lpstr>Perfis</vt:lpstr>
      <vt:lpstr>anos</vt:lpstr>
      <vt:lpstr>aporte</vt:lpstr>
      <vt:lpstr>dividendos</vt:lpstr>
      <vt:lpstr>lista_perfis</vt:lpstr>
      <vt:lpstr>lista_tipos</vt:lpstr>
      <vt:lpstr>patrimonio</vt:lpstr>
      <vt:lpstr>pct_aporte</vt:lpstr>
      <vt:lpstr>perfil</vt:lpstr>
      <vt:lpstr>salario</vt:lpstr>
      <vt:lpstr>sugestao_aporte</vt:lpstr>
      <vt:lpstr>tabela_perfis</vt:lpstr>
      <vt:lpstr>taxa_mensal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1</cp:revision>
  <dcterms:created xsi:type="dcterms:W3CDTF">2026-10-07T14:40:20Z</dcterms:created>
  <dcterms:modified xsi:type="dcterms:W3CDTF">2026-10-07T15:08:03Z</dcterms:modified>
  <dc:language>en-US</dc:language>
</cp:coreProperties>
</file>